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<sst xmlns="http://schemas.openxmlformats.org/spreadsheetml/2006/main" count="56" uniqueCount="31">
  <si>
    <t>HEALTH SECRETARIATE BUDGET</t>
  </si>
  <si>
    <t xml:space="preserve">ITEMS </t>
  </si>
  <si>
    <t>QUANTITY</t>
  </si>
  <si>
    <t>UNIT COST</t>
  </si>
  <si>
    <t>TOTAL</t>
  </si>
  <si>
    <t>FIRST AID</t>
  </si>
  <si>
    <t>First aid refilling</t>
  </si>
  <si>
    <t>Stretcher</t>
  </si>
  <si>
    <t>SUB TOTAL</t>
  </si>
  <si>
    <t>COMMUNITY OUTREACH</t>
  </si>
  <si>
    <t>Tools</t>
  </si>
  <si>
    <t>VP</t>
  </si>
  <si>
    <t xml:space="preserve">Water </t>
  </si>
  <si>
    <t>Snacks</t>
  </si>
  <si>
    <t>PEER COUNSELING AND MENTAL  HEALTH</t>
  </si>
  <si>
    <t>Soda Cartons</t>
  </si>
  <si>
    <t>Water</t>
  </si>
  <si>
    <t>Address system</t>
  </si>
  <si>
    <t>Certificate</t>
  </si>
  <si>
    <t>DEAN</t>
  </si>
  <si>
    <t>FIRST AID TRAINING</t>
  </si>
  <si>
    <t>Facilitator</t>
  </si>
  <si>
    <t>Soda</t>
  </si>
  <si>
    <t>BLOOD DONATION</t>
  </si>
  <si>
    <t>Tents and chairs</t>
  </si>
  <si>
    <t>Drinks</t>
  </si>
  <si>
    <t>HEALTH CAMPS</t>
  </si>
  <si>
    <t>AWARENESS STICKERS AND POSTERS</t>
  </si>
  <si>
    <t>Stikers and posters</t>
  </si>
  <si>
    <t>CANCER AWARENESS PROGRAM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</si>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</sst>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6">
    <font>
      <sz val="11.0"/>
      <color theme="1"/>
      <name val="Calibri"/>
      <scheme val="minor"/>
    </font>
    <font>
      <b/>
      <sz val="14.0"/>
      <color rgb="FFFF0000"/>
      <name val="Cambria"/>
    </font>
    <font>
      <sz val="14.0"/>
      <color theme="1"/>
      <name val="Cambria"/>
    </font>
    <font>
      <b/>
      <sz val="14.0"/>
      <color theme="1"/>
      <name val="Cambria"/>
    </font>
    <font>
      <sz val="14.0"/>
      <color rgb="FFFF0000"/>
      <name val="Cambria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164" xfId="0" applyFont="1" applyNumberFormat="1"/>
    <xf borderId="0" fillId="0" fontId="2" numFmtId="3" xfId="0" applyFont="1" applyNumberFormat="1"/>
    <xf borderId="1" fillId="2" fontId="2" numFmtId="0" xfId="0" applyBorder="1" applyFill="1" applyFont="1"/>
    <xf borderId="1" fillId="2" fontId="2" numFmtId="3" xfId="0" applyBorder="1" applyFont="1" applyNumberForma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5" numFmtId="0" xfId="0" applyFont="1"/>
    <xf borderId="1" fillId="3" fontId="2" numFmtId="0" xfId="0" applyBorder="1" applyFill="1" applyFont="1"/>
    <xf borderId="1" fillId="3" fontId="2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16.57"/>
    <col customWidth="1" min="3" max="3" width="14.14"/>
    <col customWidth="1" min="4" max="4" width="14.43"/>
    <col customWidth="1" min="5" max="5" width="13.14"/>
    <col customWidth="1" min="6" max="6" width="9.14"/>
    <col customWidth="1" min="7" max="7" width="14.14"/>
    <col customWidth="1" min="8" max="19" width="9.14"/>
    <col customWidth="1" min="20" max="26" width="8.71"/>
  </cols>
  <sheetData>
    <row r="1" ht="18.0" customHeight="1">
      <c r="A1" s="1" t="s">
        <v>0</v>
      </c>
      <c r="T1" s="2"/>
      <c r="U1" s="2"/>
      <c r="V1" s="2"/>
      <c r="W1" s="2"/>
      <c r="X1" s="2"/>
      <c r="Y1" s="2"/>
      <c r="Z1" s="2"/>
    </row>
    <row r="2" ht="18.0" customHeight="1">
      <c r="A2" s="3" t="s">
        <v>1</v>
      </c>
      <c r="B2" s="3" t="s">
        <v>2</v>
      </c>
      <c r="C2" s="3" t="s">
        <v>3</v>
      </c>
      <c r="D2" s="3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"/>
      <c r="U2" s="2"/>
      <c r="V2" s="2"/>
      <c r="W2" s="2"/>
      <c r="X2" s="2"/>
      <c r="Y2" s="2"/>
      <c r="Z2" s="2"/>
    </row>
    <row r="3" ht="18.0" customHeight="1">
      <c r="A3" s="3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2" t="s">
        <v>6</v>
      </c>
      <c r="B4" s="2">
        <v>13.0</v>
      </c>
      <c r="C4" s="5">
        <v>150000.0</v>
      </c>
      <c r="D4" s="6">
        <f t="shared" ref="D4:D5" si="1">(B4*C4)</f>
        <v>1950000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7</v>
      </c>
      <c r="B5" s="2">
        <v>1.0</v>
      </c>
      <c r="C5" s="5">
        <v>750000.0</v>
      </c>
      <c r="D5" s="6">
        <f t="shared" si="1"/>
        <v>750000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7" t="s">
        <v>8</v>
      </c>
      <c r="B6" s="7"/>
      <c r="C6" s="7"/>
      <c r="D6" s="8">
        <f>D4+D5</f>
        <v>2700000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3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9" t="s">
        <v>10</v>
      </c>
      <c r="B9" s="2"/>
      <c r="C9" s="6"/>
      <c r="D9" s="6" t="s">
        <v>11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9" t="s">
        <v>12</v>
      </c>
      <c r="B10" s="9">
        <v>10.0</v>
      </c>
      <c r="C10" s="10">
        <v>12000.0</v>
      </c>
      <c r="D10" s="6">
        <f t="shared" ref="D10:D11" si="2">(B10*C10)</f>
        <v>120000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 t="s">
        <v>13</v>
      </c>
      <c r="B11" s="2">
        <v>100.0</v>
      </c>
      <c r="C11" s="6">
        <v>1000.0</v>
      </c>
      <c r="D11" s="10">
        <f t="shared" si="2"/>
        <v>100000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7" t="s">
        <v>8</v>
      </c>
      <c r="B12" s="7"/>
      <c r="C12" s="7"/>
      <c r="D12" s="8">
        <f>SUM(D9:D11)</f>
        <v>220000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3" t="s">
        <v>14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 t="s">
        <v>13</v>
      </c>
      <c r="B15" s="2">
        <v>200.0</v>
      </c>
      <c r="C15" s="6">
        <v>1000.0</v>
      </c>
      <c r="D15" s="6">
        <f t="shared" ref="D15:D18" si="3">(B15*C15)</f>
        <v>200000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9" t="s">
        <v>15</v>
      </c>
      <c r="B16" s="9">
        <v>7.0</v>
      </c>
      <c r="C16" s="10">
        <v>12000.0</v>
      </c>
      <c r="D16" s="6">
        <f t="shared" si="3"/>
        <v>84000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 t="s">
        <v>16</v>
      </c>
      <c r="B17" s="2">
        <v>2.0</v>
      </c>
      <c r="C17" s="10">
        <v>18000.0</v>
      </c>
      <c r="D17" s="6">
        <f t="shared" si="3"/>
        <v>36000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" t="s">
        <v>17</v>
      </c>
      <c r="B18" s="2">
        <v>1.0</v>
      </c>
      <c r="C18" s="10">
        <v>350000.0</v>
      </c>
      <c r="D18" s="6">
        <f t="shared" si="3"/>
        <v>350000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 t="s">
        <v>18</v>
      </c>
      <c r="B19" s="2">
        <v>150.0</v>
      </c>
      <c r="C19" s="6" t="s">
        <v>19</v>
      </c>
      <c r="D19" s="6" t="s">
        <v>19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7" t="s">
        <v>8</v>
      </c>
      <c r="B20" s="7"/>
      <c r="C20" s="7"/>
      <c r="D20" s="8">
        <f>SUM(D15:D19)</f>
        <v>670000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"/>
      <c r="C21" s="2"/>
      <c r="D21" s="2"/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3" t="s">
        <v>20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 t="s">
        <v>21</v>
      </c>
      <c r="B23" s="9">
        <v>2.0</v>
      </c>
      <c r="C23" s="6">
        <v>200000.0</v>
      </c>
      <c r="D23" s="6">
        <f t="shared" ref="D23:D27" si="4">(B23*C23)</f>
        <v>400000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" t="s">
        <v>18</v>
      </c>
      <c r="B24" s="2">
        <v>80.0</v>
      </c>
      <c r="C24" s="6">
        <v>2000.0</v>
      </c>
      <c r="D24" s="6">
        <f t="shared" si="4"/>
        <v>160000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 t="s">
        <v>13</v>
      </c>
      <c r="B25" s="2">
        <v>50.0</v>
      </c>
      <c r="C25" s="6">
        <v>1000.0</v>
      </c>
      <c r="D25" s="6">
        <f t="shared" si="4"/>
        <v>50000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 t="s">
        <v>22</v>
      </c>
      <c r="B26" s="2">
        <v>5.0</v>
      </c>
      <c r="C26" s="6">
        <v>12000.0</v>
      </c>
      <c r="D26" s="6">
        <f t="shared" si="4"/>
        <v>60000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 t="s">
        <v>16</v>
      </c>
      <c r="B27" s="9">
        <v>2.0</v>
      </c>
      <c r="C27" s="6">
        <v>18000.0</v>
      </c>
      <c r="D27" s="6">
        <f t="shared" si="4"/>
        <v>36000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7" t="s">
        <v>8</v>
      </c>
      <c r="B28" s="7"/>
      <c r="C28" s="7"/>
      <c r="D28" s="8">
        <f>SUM(D23:D27)</f>
        <v>706000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3" t="s">
        <v>23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 t="s">
        <v>24</v>
      </c>
      <c r="B31" s="11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 t="s">
        <v>17</v>
      </c>
      <c r="B32" s="2">
        <v>1.0</v>
      </c>
      <c r="C32" s="6">
        <v>500000.0</v>
      </c>
      <c r="D32" s="6">
        <f>B32*C32</f>
        <v>500000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 t="s">
        <v>13</v>
      </c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 t="s">
        <v>25</v>
      </c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 t="s">
        <v>16</v>
      </c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7" t="s">
        <v>8</v>
      </c>
      <c r="B36" s="7"/>
      <c r="C36" s="7"/>
      <c r="D36" s="8">
        <f>sum(D32)</f>
        <v>500000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3" t="s">
        <v>26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 t="s">
        <v>21</v>
      </c>
      <c r="B39" s="2">
        <v>1.0</v>
      </c>
      <c r="C39" s="6">
        <v>200000.0</v>
      </c>
      <c r="D39" s="6">
        <f t="shared" ref="D39:D43" si="5">(B39*C39)</f>
        <v>200000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 t="s">
        <v>17</v>
      </c>
      <c r="B40" s="2">
        <v>1.0</v>
      </c>
      <c r="C40" s="6">
        <v>150000.0</v>
      </c>
      <c r="D40" s="6">
        <f t="shared" si="5"/>
        <v>150000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 t="s">
        <v>13</v>
      </c>
      <c r="B41" s="2">
        <v>100.0</v>
      </c>
      <c r="C41" s="6">
        <v>1000.0</v>
      </c>
      <c r="D41" s="6">
        <f t="shared" si="5"/>
        <v>100000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 t="s">
        <v>22</v>
      </c>
      <c r="B42" s="9">
        <v>10.0</v>
      </c>
      <c r="C42" s="6">
        <v>12000.0</v>
      </c>
      <c r="D42" s="6">
        <f t="shared" si="5"/>
        <v>120000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 t="s">
        <v>16</v>
      </c>
      <c r="B43" s="9">
        <v>3.0</v>
      </c>
      <c r="C43" s="6">
        <v>20000.0</v>
      </c>
      <c r="D43" s="6">
        <f t="shared" si="5"/>
        <v>60000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7" t="s">
        <v>8</v>
      </c>
      <c r="B44" s="7"/>
      <c r="C44" s="7"/>
      <c r="D44" s="8">
        <f>SUM(D39:D43)</f>
        <v>630000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3" t="s">
        <v>27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 t="s">
        <v>28</v>
      </c>
      <c r="B47" s="9">
        <v>100.0</v>
      </c>
      <c r="C47" s="2">
        <v>1000.0</v>
      </c>
      <c r="D47" s="6">
        <f>(B47*C47)</f>
        <v>100000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7" t="s">
        <v>8</v>
      </c>
      <c r="B48" s="7"/>
      <c r="C48" s="7"/>
      <c r="D48" s="8">
        <f>sum(D47)</f>
        <v>100000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3" t="s">
        <v>29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 t="s">
        <v>21</v>
      </c>
      <c r="B51" s="2">
        <v>2.0</v>
      </c>
      <c r="C51" s="10">
        <v>200000.0</v>
      </c>
      <c r="D51" s="6">
        <f t="shared" ref="D51:D55" si="6">(B51*C51)</f>
        <v>400000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 t="s">
        <v>17</v>
      </c>
      <c r="B52" s="2">
        <v>1.0</v>
      </c>
      <c r="C52" s="6">
        <v>150000.0</v>
      </c>
      <c r="D52" s="6">
        <f t="shared" si="6"/>
        <v>150000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 t="s">
        <v>13</v>
      </c>
      <c r="B53" s="2">
        <v>100.0</v>
      </c>
      <c r="C53" s="6">
        <v>1000.0</v>
      </c>
      <c r="D53" s="6">
        <f t="shared" si="6"/>
        <v>100000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 t="s">
        <v>25</v>
      </c>
      <c r="B54" s="9">
        <v>10.0</v>
      </c>
      <c r="C54" s="6">
        <v>12000.0</v>
      </c>
      <c r="D54" s="6">
        <f t="shared" si="6"/>
        <v>120000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 t="s">
        <v>16</v>
      </c>
      <c r="B55" s="9">
        <v>3.0</v>
      </c>
      <c r="C55" s="6">
        <v>20000.0</v>
      </c>
      <c r="D55" s="6">
        <f t="shared" si="6"/>
        <v>60000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7" t="s">
        <v>8</v>
      </c>
      <c r="B56" s="7"/>
      <c r="C56" s="7"/>
      <c r="D56" s="8">
        <f>D51+D52+D53+D54+D55</f>
        <v>830000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12" t="s">
        <v>30</v>
      </c>
      <c r="B57" s="12"/>
      <c r="C57" s="12"/>
      <c r="D57" s="13">
        <f>sum(D6,D12,D20,D28,D36,D56)</f>
        <v>5626000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9">
    <mergeCell ref="A46:E46"/>
    <mergeCell ref="A50:D50"/>
    <mergeCell ref="A1:S1"/>
    <mergeCell ref="A3:E3"/>
    <mergeCell ref="A8:E8"/>
    <mergeCell ref="A14:E14"/>
    <mergeCell ref="A22:E22"/>
    <mergeCell ref="A30:E30"/>
    <mergeCell ref="A38:E38"/>
  </mergeCells>
  <printOptions/>
  <pageMargins bottom="0.75" footer="0.0" header="0.0" left="0.7" right="0.7" top="0.75"/>
  <pageSetup orientation="portrait"/>
  <drawing r:id="rId1"/>
</worksheet>
</file>